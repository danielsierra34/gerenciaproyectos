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mendozacipagauta\Universidad de los Andes\Equipo interno PyS - PyS - Proyectos\Inventario\Trabajo Editables\Gerencia de proyectos\"/>
    </mc:Choice>
  </mc:AlternateContent>
  <xr:revisionPtr revIDLastSave="8" documentId="8_{14733F2F-9058-4C65-BCB1-6C30F8BC44CC}" xr6:coauthVersionLast="36" xr6:coauthVersionMax="47" xr10:uidLastSave="{1A55C9DE-4605-476A-A117-09998D0AA218}"/>
  <bookViews>
    <workbookView xWindow="-105" yWindow="-105" windowWidth="23250" windowHeight="12570" xr2:uid="{00000000-000D-0000-FFFF-FFFF00000000}"/>
  </bookViews>
  <sheets>
    <sheet name="Plantilla" sheetId="1" r:id="rId1"/>
  </sheets>
  <definedNames>
    <definedName name="_xlnm._FilterDatabase" localSheetId="0" hidden="1">Plantilla!$A$3:$G$50</definedName>
    <definedName name="_xlnm.Print_Area" localSheetId="0">Plantilla!$B$1:$G$52</definedName>
  </definedNames>
  <calcPr calcId="191028"/>
</workbook>
</file>

<file path=xl/calcChain.xml><?xml version="1.0" encoding="utf-8"?>
<calcChain xmlns="http://schemas.openxmlformats.org/spreadsheetml/2006/main">
  <c r="E42" i="1" l="1"/>
  <c r="F42" i="1"/>
  <c r="G42" i="1"/>
  <c r="E36" i="1"/>
  <c r="F36" i="1"/>
  <c r="G36" i="1"/>
  <c r="G35" i="1" s="1"/>
  <c r="F35" i="1"/>
  <c r="E29" i="1"/>
  <c r="F29" i="1"/>
  <c r="G29" i="1"/>
  <c r="E23" i="1"/>
  <c r="E19" i="1" s="1"/>
  <c r="F23" i="1"/>
  <c r="F19" i="1" s="1"/>
  <c r="G23" i="1"/>
  <c r="G19" i="1" s="1"/>
  <c r="E20" i="1"/>
  <c r="F20" i="1"/>
  <c r="G20" i="1"/>
  <c r="E16" i="1"/>
  <c r="F16" i="1"/>
  <c r="G16" i="1"/>
  <c r="E12" i="1"/>
  <c r="F12" i="1"/>
  <c r="G12" i="1"/>
  <c r="G6" i="1" s="1"/>
  <c r="E7" i="1"/>
  <c r="F7" i="1"/>
  <c r="G7" i="1"/>
  <c r="F6" i="1"/>
  <c r="D42" i="1"/>
  <c r="D36" i="1"/>
  <c r="D29" i="1"/>
  <c r="D23" i="1"/>
  <c r="D20" i="1"/>
  <c r="D16" i="1"/>
  <c r="D12" i="1"/>
  <c r="D7" i="1"/>
  <c r="E35" i="1" l="1"/>
  <c r="E6" i="1"/>
  <c r="D35" i="1"/>
  <c r="D19" i="1"/>
  <c r="D6" i="1"/>
  <c r="F52" i="1"/>
  <c r="G52" i="1"/>
  <c r="D52" i="1" l="1"/>
  <c r="E52" i="1"/>
</calcChain>
</file>

<file path=xl/sharedStrings.xml><?xml version="1.0" encoding="utf-8"?>
<sst xmlns="http://schemas.openxmlformats.org/spreadsheetml/2006/main" count="92" uniqueCount="92">
  <si>
    <t>MATRIZ DE PUNTUACIÓN DE PESO PARA SOFTWARE ELECTORAL</t>
  </si>
  <si>
    <t>Pesos</t>
  </si>
  <si>
    <t>PROPONENTE A</t>
  </si>
  <si>
    <t>PROPONENTE B</t>
  </si>
  <si>
    <t>PROPONENTE C</t>
  </si>
  <si>
    <t>Nivel</t>
  </si>
  <si>
    <t>No.</t>
  </si>
  <si>
    <t>Descripcion</t>
  </si>
  <si>
    <t>PROVEEDOR</t>
  </si>
  <si>
    <t>1.1</t>
  </si>
  <si>
    <t>Información General</t>
  </si>
  <si>
    <t>1.1.1</t>
  </si>
  <si>
    <t>Solidez de la empresa</t>
  </si>
  <si>
    <t>1.1.2</t>
  </si>
  <si>
    <t>Cumplimiento del proveedor / Referencias</t>
  </si>
  <si>
    <t>1.1.3</t>
  </si>
  <si>
    <t>Calidad de las entregas / Referencias</t>
  </si>
  <si>
    <t>1.1.4</t>
  </si>
  <si>
    <t>Contratos vigentes</t>
  </si>
  <si>
    <t>1.2</t>
  </si>
  <si>
    <t>Experiencia</t>
  </si>
  <si>
    <t>1.2.1</t>
  </si>
  <si>
    <t>Experiencia del proveedor en soluciones similares a la ofrecida</t>
  </si>
  <si>
    <t>1.2.2</t>
  </si>
  <si>
    <t>Experiencia en implantación del producto</t>
  </si>
  <si>
    <t>1.2.3</t>
  </si>
  <si>
    <t>Experiencia del equipo de trabajo comprometido como recurso del proyecto</t>
  </si>
  <si>
    <t>COSTOS</t>
  </si>
  <si>
    <t>2.1</t>
  </si>
  <si>
    <t>La oferta realizada es la de menor cuantia</t>
  </si>
  <si>
    <t>2.2</t>
  </si>
  <si>
    <t>Respaldo financiero para la ejecución del proyecto</t>
  </si>
  <si>
    <t>INFRAESTRUCTURA</t>
  </si>
  <si>
    <t>3.1</t>
  </si>
  <si>
    <t>Centros de recepción telefonica (CRT)</t>
  </si>
  <si>
    <t>3.1.1</t>
  </si>
  <si>
    <t>Número de CRT ofrecidos</t>
  </si>
  <si>
    <t>3.1.2</t>
  </si>
  <si>
    <t>Distribución de CRT a nivel nacional</t>
  </si>
  <si>
    <t>3.2</t>
  </si>
  <si>
    <t>Hardware</t>
  </si>
  <si>
    <t>3.2.1</t>
  </si>
  <si>
    <t>DataCenter</t>
  </si>
  <si>
    <t>3.2.2</t>
  </si>
  <si>
    <t>Dispositivos de identificación de radiofrecuencia (RFID)</t>
  </si>
  <si>
    <t>3.2.3</t>
  </si>
  <si>
    <t>Equipos de identificación biométrica</t>
  </si>
  <si>
    <t>3.2.4</t>
  </si>
  <si>
    <t>Computadores</t>
  </si>
  <si>
    <t>3.2.5</t>
  </si>
  <si>
    <t>Equipo de comunicaciones</t>
  </si>
  <si>
    <t>3.3</t>
  </si>
  <si>
    <t>Software</t>
  </si>
  <si>
    <t>3.3.1</t>
  </si>
  <si>
    <t>Licencias de uso/Registro derechos de autor</t>
  </si>
  <si>
    <t>3.3.2</t>
  </si>
  <si>
    <t>Cumplimiento de requisitos funcionales</t>
  </si>
  <si>
    <t>3.3.3</t>
  </si>
  <si>
    <t>Compatibilidad con sistema biometrico de huellas dactilares</t>
  </si>
  <si>
    <t>3.3.4</t>
  </si>
  <si>
    <t>Base de datos relacional de alta transaccionalidad</t>
  </si>
  <si>
    <t>3.3.5</t>
  </si>
  <si>
    <t>Compatibilidad con los navegadores más comunes</t>
  </si>
  <si>
    <t>PRODUCTO</t>
  </si>
  <si>
    <t>4.1</t>
  </si>
  <si>
    <t>Atributos de calidad</t>
  </si>
  <si>
    <t>4.1.1</t>
  </si>
  <si>
    <t>Seguridad/Auditoria</t>
  </si>
  <si>
    <t>4.1.2</t>
  </si>
  <si>
    <t>Fiabilidad</t>
  </si>
  <si>
    <t>4.1.3</t>
  </si>
  <si>
    <t>Escalabilidad</t>
  </si>
  <si>
    <t>4.1.4</t>
  </si>
  <si>
    <t>Rendimiento</t>
  </si>
  <si>
    <t>4.1.5</t>
  </si>
  <si>
    <t>Usabilidad</t>
  </si>
  <si>
    <t>4.2</t>
  </si>
  <si>
    <t>Implantación</t>
  </si>
  <si>
    <t>4.2.1</t>
  </si>
  <si>
    <t>Configuración/Parametrización</t>
  </si>
  <si>
    <t>4.2.2</t>
  </si>
  <si>
    <t>Apoyo ofrecido por el proveedor/ recurso humano disponible durante la jornada electoral</t>
  </si>
  <si>
    <t>4.2.3</t>
  </si>
  <si>
    <t>Compatibilidad de la solución ofrecida con aplicaciones en uso</t>
  </si>
  <si>
    <t>4.2.4</t>
  </si>
  <si>
    <t>Recursos necesarios para la implantación de la solución ofrecida</t>
  </si>
  <si>
    <t>4.2.5</t>
  </si>
  <si>
    <t>Tiempo necesario para la implantación de la solución ofrecida</t>
  </si>
  <si>
    <t>4.2.6</t>
  </si>
  <si>
    <t>Plan de contingencia técnica</t>
  </si>
  <si>
    <t>TOTAL</t>
  </si>
  <si>
    <r>
      <rPr>
        <b/>
        <i/>
        <sz val="10"/>
        <rFont val="Arial"/>
        <family val="2"/>
      </rPr>
      <t xml:space="preserve">© - Derechos Reservados: </t>
    </r>
    <r>
      <rPr>
        <i/>
        <sz val="10"/>
        <rFont val="Arial"/>
        <family val="2"/>
      </rPr>
      <t>la presente obra, y en general todos sus contenidos, se encuentran protegidos por las normas internacionales y nacionales vigentes sobre propiedad Intelectual, por lo tanto su utilización parcial o total, reproducción, comunicación pública, transformación, distribución, alquiler, préstamo público e importación, total o parcial, en todo o en parte, en formato impreso o digital y en cualquier formato conocido o por conocer, se encuentran prohibidos, y solo serán lícitos en la medida en que se cuente con la autorización previa y expresa por escrito de la Universidad de los Andes.
De igual manera, la utilización de la imagen de las personas, docentes o estudiantes, sin su previa autorización está expresamente prohibida. En caso de incumplirse con lo mencionado, se procederá de conformidad con los reglamentos y políticas de la universidad, sin perjuicio de las demás acciones legales aplicables.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</si>
</sst>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5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4"/>
  <sheetViews>
    <sheetView tabSelected="1" zoomScale="130" workbookViewId="0">
      <selection activeCell="C56" sqref="C56"/>
    </sheetView>
  </sheetViews>
  <sheetFormatPr baseColWidth="10" defaultColWidth="11.42578125" defaultRowHeight="12.75" outlineLevelRow="1" x14ac:dyDescent="0.2"/>
  <cols>
    <col min="1" max="1" width="8.7109375" customWidth="1"/>
    <col min="2" max="2" width="5.140625" style="1" customWidth="1"/>
    <col min="3" max="3" width="67" customWidth="1"/>
    <col min="4" max="4" width="8.7109375" style="12" customWidth="1"/>
    <col min="5" max="5" width="16.7109375" style="13" customWidth="1"/>
    <col min="6" max="7" width="16.5703125" style="13" bestFit="1" customWidth="1"/>
    <col min="8" max="9" width="8.7109375" customWidth="1"/>
    <col min="10" max="10" width="11.28515625" bestFit="1" customWidth="1"/>
    <col min="11" max="257" width="8.7109375" customWidth="1"/>
  </cols>
  <sheetData>
    <row r="1" spans="1:7" ht="16.899999999999999" customHeight="1" x14ac:dyDescent="0.25">
      <c r="A1" s="20" t="s">
        <v>0</v>
      </c>
      <c r="B1" s="20"/>
      <c r="C1" s="20"/>
      <c r="D1" s="20"/>
      <c r="E1" s="20"/>
      <c r="F1" s="20"/>
      <c r="G1" s="20"/>
    </row>
    <row r="3" spans="1:7" x14ac:dyDescent="0.2">
      <c r="D3" s="10" t="s">
        <v>1</v>
      </c>
      <c r="E3" s="11" t="s">
        <v>2</v>
      </c>
      <c r="F3" s="11" t="s">
        <v>3</v>
      </c>
      <c r="G3" s="11" t="s">
        <v>4</v>
      </c>
    </row>
    <row r="4" spans="1:7" x14ac:dyDescent="0.2">
      <c r="E4" s="11"/>
      <c r="F4" s="11"/>
      <c r="G4" s="11"/>
    </row>
    <row r="5" spans="1:7" x14ac:dyDescent="0.2">
      <c r="A5" t="s">
        <v>5</v>
      </c>
      <c r="B5" s="1" t="s">
        <v>6</v>
      </c>
      <c r="C5" t="s">
        <v>7</v>
      </c>
    </row>
    <row r="6" spans="1:7" x14ac:dyDescent="0.2">
      <c r="A6" s="3">
        <v>1</v>
      </c>
      <c r="B6" s="4">
        <v>1</v>
      </c>
      <c r="C6" s="6" t="s">
        <v>8</v>
      </c>
      <c r="D6" s="15">
        <f>D7+D12</f>
        <v>20</v>
      </c>
      <c r="E6" s="15">
        <f t="shared" ref="E6:G6" si="0">E7+E12</f>
        <v>0</v>
      </c>
      <c r="F6" s="15">
        <f t="shared" si="0"/>
        <v>0</v>
      </c>
      <c r="G6" s="15">
        <f t="shared" si="0"/>
        <v>0</v>
      </c>
    </row>
    <row r="7" spans="1:7" s="2" customFormat="1" x14ac:dyDescent="0.2">
      <c r="A7" s="3">
        <v>2</v>
      </c>
      <c r="B7" s="4" t="s">
        <v>9</v>
      </c>
      <c r="C7" s="7" t="s">
        <v>10</v>
      </c>
      <c r="D7" s="18">
        <f>SUM(D8:D11)*10/20</f>
        <v>10</v>
      </c>
      <c r="E7" s="18">
        <f t="shared" ref="E7:G7" si="1">SUM(E8:E11)*10/20</f>
        <v>0</v>
      </c>
      <c r="F7" s="18">
        <f t="shared" si="1"/>
        <v>0</v>
      </c>
      <c r="G7" s="18">
        <f t="shared" si="1"/>
        <v>0</v>
      </c>
    </row>
    <row r="8" spans="1:7" ht="13.5" customHeight="1" outlineLevel="1" x14ac:dyDescent="0.2">
      <c r="A8" s="3">
        <v>3</v>
      </c>
      <c r="B8" s="4" t="s">
        <v>11</v>
      </c>
      <c r="C8" s="8" t="s">
        <v>12</v>
      </c>
      <c r="D8" s="19">
        <v>5</v>
      </c>
      <c r="E8" s="14"/>
      <c r="F8" s="14"/>
      <c r="G8" s="14"/>
    </row>
    <row r="9" spans="1:7" ht="13.5" customHeight="1" outlineLevel="1" x14ac:dyDescent="0.2">
      <c r="A9">
        <v>3</v>
      </c>
      <c r="B9" s="4" t="s">
        <v>13</v>
      </c>
      <c r="C9" s="9" t="s">
        <v>14</v>
      </c>
      <c r="D9" s="14">
        <v>5</v>
      </c>
      <c r="E9" s="14"/>
      <c r="F9" s="14"/>
      <c r="G9" s="14"/>
    </row>
    <row r="10" spans="1:7" ht="13.5" customHeight="1" outlineLevel="1" x14ac:dyDescent="0.2">
      <c r="A10">
        <v>3</v>
      </c>
      <c r="B10" s="4" t="s">
        <v>15</v>
      </c>
      <c r="C10" s="9" t="s">
        <v>16</v>
      </c>
      <c r="D10" s="14">
        <v>5</v>
      </c>
      <c r="E10" s="14"/>
      <c r="F10" s="14"/>
      <c r="G10" s="14"/>
    </row>
    <row r="11" spans="1:7" ht="13.5" customHeight="1" outlineLevel="1" x14ac:dyDescent="0.2">
      <c r="A11">
        <v>3</v>
      </c>
      <c r="B11" s="4" t="s">
        <v>17</v>
      </c>
      <c r="C11" s="9" t="s">
        <v>18</v>
      </c>
      <c r="D11" s="14">
        <v>5</v>
      </c>
      <c r="E11" s="14"/>
      <c r="F11" s="14"/>
      <c r="G11" s="14"/>
    </row>
    <row r="12" spans="1:7" outlineLevel="1" x14ac:dyDescent="0.2">
      <c r="A12">
        <v>2</v>
      </c>
      <c r="B12" s="4" t="s">
        <v>19</v>
      </c>
      <c r="C12" s="7" t="s">
        <v>20</v>
      </c>
      <c r="D12" s="18">
        <f>SUM(D13:D15)*10/15</f>
        <v>10</v>
      </c>
      <c r="E12" s="18">
        <f t="shared" ref="E12:G12" si="2">SUM(E13:E15)*10/15</f>
        <v>0</v>
      </c>
      <c r="F12" s="18">
        <f t="shared" si="2"/>
        <v>0</v>
      </c>
      <c r="G12" s="18">
        <f t="shared" si="2"/>
        <v>0</v>
      </c>
    </row>
    <row r="13" spans="1:7" outlineLevel="1" x14ac:dyDescent="0.2">
      <c r="A13">
        <v>3</v>
      </c>
      <c r="B13" s="4" t="s">
        <v>21</v>
      </c>
      <c r="C13" s="9" t="s">
        <v>22</v>
      </c>
      <c r="D13" s="14">
        <v>5</v>
      </c>
      <c r="E13" s="14"/>
      <c r="F13" s="14"/>
      <c r="G13" s="14"/>
    </row>
    <row r="14" spans="1:7" outlineLevel="1" x14ac:dyDescent="0.2">
      <c r="A14">
        <v>3</v>
      </c>
      <c r="B14" s="4" t="s">
        <v>23</v>
      </c>
      <c r="C14" s="8" t="s">
        <v>24</v>
      </c>
      <c r="D14" s="19">
        <v>5</v>
      </c>
      <c r="E14" s="14"/>
      <c r="F14" s="14"/>
      <c r="G14" s="14"/>
    </row>
    <row r="15" spans="1:7" outlineLevel="1" x14ac:dyDescent="0.2">
      <c r="A15">
        <v>3</v>
      </c>
      <c r="B15" s="4" t="s">
        <v>25</v>
      </c>
      <c r="C15" s="9" t="s">
        <v>26</v>
      </c>
      <c r="D15" s="14">
        <v>5</v>
      </c>
      <c r="E15" s="14"/>
      <c r="F15" s="14"/>
      <c r="G15" s="14"/>
    </row>
    <row r="16" spans="1:7" s="2" customFormat="1" x14ac:dyDescent="0.2">
      <c r="A16" s="3">
        <v>1</v>
      </c>
      <c r="B16" s="4">
        <v>2</v>
      </c>
      <c r="C16" s="6" t="s">
        <v>27</v>
      </c>
      <c r="D16" s="15">
        <f>SUM(D17:D18)*3</f>
        <v>30</v>
      </c>
      <c r="E16" s="15">
        <f t="shared" ref="E16:G16" si="3">SUM(E17:E18)*3</f>
        <v>0</v>
      </c>
      <c r="F16" s="15">
        <f t="shared" si="3"/>
        <v>0</v>
      </c>
      <c r="G16" s="15">
        <f t="shared" si="3"/>
        <v>0</v>
      </c>
    </row>
    <row r="17" spans="1:7" outlineLevel="1" x14ac:dyDescent="0.2">
      <c r="A17" s="3">
        <v>2</v>
      </c>
      <c r="B17" s="4" t="s">
        <v>28</v>
      </c>
      <c r="C17" s="8" t="s">
        <v>29</v>
      </c>
      <c r="D17" s="19">
        <v>5</v>
      </c>
      <c r="E17" s="14"/>
      <c r="F17" s="14"/>
      <c r="G17" s="14"/>
    </row>
    <row r="18" spans="1:7" outlineLevel="1" x14ac:dyDescent="0.2">
      <c r="A18" s="3">
        <v>2</v>
      </c>
      <c r="B18" s="4" t="s">
        <v>30</v>
      </c>
      <c r="C18" s="8" t="s">
        <v>31</v>
      </c>
      <c r="D18" s="19">
        <v>5</v>
      </c>
      <c r="E18" s="14"/>
      <c r="F18" s="14"/>
      <c r="G18" s="14"/>
    </row>
    <row r="19" spans="1:7" outlineLevel="1" x14ac:dyDescent="0.2">
      <c r="A19" s="3">
        <v>1</v>
      </c>
      <c r="B19" s="4">
        <v>3</v>
      </c>
      <c r="C19" s="6" t="s">
        <v>32</v>
      </c>
      <c r="D19" s="15">
        <f>D20+D23+D29</f>
        <v>20</v>
      </c>
      <c r="E19" s="15">
        <f t="shared" ref="E19:G19" si="4">E20+E23+E29</f>
        <v>0</v>
      </c>
      <c r="F19" s="15">
        <f t="shared" si="4"/>
        <v>0</v>
      </c>
      <c r="G19" s="15">
        <f t="shared" si="4"/>
        <v>0</v>
      </c>
    </row>
    <row r="20" spans="1:7" outlineLevel="1" x14ac:dyDescent="0.2">
      <c r="A20" s="3">
        <v>2</v>
      </c>
      <c r="B20" s="4" t="s">
        <v>33</v>
      </c>
      <c r="C20" s="7" t="s">
        <v>34</v>
      </c>
      <c r="D20" s="18">
        <f>SUM(D21:D22)*4/10</f>
        <v>4</v>
      </c>
      <c r="E20" s="18">
        <f t="shared" ref="E20:G20" si="5">SUM(E21:E22)*4/10</f>
        <v>0</v>
      </c>
      <c r="F20" s="18">
        <f t="shared" si="5"/>
        <v>0</v>
      </c>
      <c r="G20" s="18">
        <f t="shared" si="5"/>
        <v>0</v>
      </c>
    </row>
    <row r="21" spans="1:7" outlineLevel="1" x14ac:dyDescent="0.2">
      <c r="A21" s="3">
        <v>3</v>
      </c>
      <c r="B21" s="4" t="s">
        <v>35</v>
      </c>
      <c r="C21" s="8" t="s">
        <v>36</v>
      </c>
      <c r="D21" s="19">
        <v>5</v>
      </c>
      <c r="E21" s="14"/>
      <c r="F21" s="14"/>
      <c r="G21" s="14"/>
    </row>
    <row r="22" spans="1:7" outlineLevel="1" x14ac:dyDescent="0.2">
      <c r="A22" s="3">
        <v>3</v>
      </c>
      <c r="B22" s="4" t="s">
        <v>37</v>
      </c>
      <c r="C22" s="8" t="s">
        <v>38</v>
      </c>
      <c r="D22" s="19">
        <v>5</v>
      </c>
      <c r="E22" s="14"/>
      <c r="F22" s="14"/>
      <c r="G22" s="14"/>
    </row>
    <row r="23" spans="1:7" outlineLevel="1" x14ac:dyDescent="0.2">
      <c r="A23" s="3">
        <v>2</v>
      </c>
      <c r="B23" s="4" t="s">
        <v>39</v>
      </c>
      <c r="C23" s="7" t="s">
        <v>40</v>
      </c>
      <c r="D23" s="18">
        <f>SUM(D24:D28)*8/25</f>
        <v>8</v>
      </c>
      <c r="E23" s="18">
        <f t="shared" ref="E23:G23" si="6">SUM(E24:E28)*8/25</f>
        <v>0</v>
      </c>
      <c r="F23" s="18">
        <f t="shared" si="6"/>
        <v>0</v>
      </c>
      <c r="G23" s="18">
        <f t="shared" si="6"/>
        <v>0</v>
      </c>
    </row>
    <row r="24" spans="1:7" outlineLevel="1" x14ac:dyDescent="0.2">
      <c r="A24" s="3">
        <v>3</v>
      </c>
      <c r="B24" s="4" t="s">
        <v>41</v>
      </c>
      <c r="C24" s="8" t="s">
        <v>42</v>
      </c>
      <c r="D24" s="19">
        <v>5</v>
      </c>
      <c r="E24" s="14"/>
      <c r="F24" s="14"/>
      <c r="G24" s="14"/>
    </row>
    <row r="25" spans="1:7" outlineLevel="1" x14ac:dyDescent="0.2">
      <c r="A25" s="3">
        <v>3</v>
      </c>
      <c r="B25" s="4" t="s">
        <v>43</v>
      </c>
      <c r="C25" s="8" t="s">
        <v>44</v>
      </c>
      <c r="D25" s="19">
        <v>5</v>
      </c>
      <c r="E25" s="14"/>
      <c r="F25" s="14"/>
      <c r="G25" s="14"/>
    </row>
    <row r="26" spans="1:7" outlineLevel="1" x14ac:dyDescent="0.2">
      <c r="A26" s="3">
        <v>3</v>
      </c>
      <c r="B26" s="4" t="s">
        <v>45</v>
      </c>
      <c r="C26" s="8" t="s">
        <v>46</v>
      </c>
      <c r="D26" s="19">
        <v>5</v>
      </c>
      <c r="E26" s="14"/>
      <c r="F26" s="14"/>
      <c r="G26" s="14"/>
    </row>
    <row r="27" spans="1:7" outlineLevel="1" x14ac:dyDescent="0.2">
      <c r="A27" s="3">
        <v>3</v>
      </c>
      <c r="B27" s="4" t="s">
        <v>47</v>
      </c>
      <c r="C27" s="8" t="s">
        <v>48</v>
      </c>
      <c r="D27" s="19">
        <v>5</v>
      </c>
      <c r="E27" s="14"/>
      <c r="F27" s="14"/>
      <c r="G27" s="14"/>
    </row>
    <row r="28" spans="1:7" outlineLevel="1" x14ac:dyDescent="0.2">
      <c r="A28" s="3">
        <v>3</v>
      </c>
      <c r="B28" s="4" t="s">
        <v>49</v>
      </c>
      <c r="C28" s="8" t="s">
        <v>50</v>
      </c>
      <c r="D28" s="19">
        <v>5</v>
      </c>
      <c r="E28" s="14"/>
      <c r="F28" s="14"/>
      <c r="G28" s="14"/>
    </row>
    <row r="29" spans="1:7" outlineLevel="1" x14ac:dyDescent="0.2">
      <c r="A29" s="3">
        <v>2</v>
      </c>
      <c r="B29" s="4" t="s">
        <v>51</v>
      </c>
      <c r="C29" s="7" t="s">
        <v>52</v>
      </c>
      <c r="D29" s="18">
        <f>SUM(D30:D34)*8/25</f>
        <v>8</v>
      </c>
      <c r="E29" s="18">
        <f t="shared" ref="E29:G29" si="7">SUM(E30:E34)*8/25</f>
        <v>0</v>
      </c>
      <c r="F29" s="18">
        <f t="shared" si="7"/>
        <v>0</v>
      </c>
      <c r="G29" s="18">
        <f t="shared" si="7"/>
        <v>0</v>
      </c>
    </row>
    <row r="30" spans="1:7" outlineLevel="1" x14ac:dyDescent="0.2">
      <c r="A30" s="3">
        <v>3</v>
      </c>
      <c r="B30" s="4" t="s">
        <v>53</v>
      </c>
      <c r="C30" s="8" t="s">
        <v>54</v>
      </c>
      <c r="D30" s="19">
        <v>5</v>
      </c>
      <c r="E30" s="14"/>
      <c r="F30" s="14"/>
      <c r="G30" s="14"/>
    </row>
    <row r="31" spans="1:7" outlineLevel="1" x14ac:dyDescent="0.2">
      <c r="A31" s="3">
        <v>3</v>
      </c>
      <c r="B31" s="4" t="s">
        <v>55</v>
      </c>
      <c r="C31" s="8" t="s">
        <v>56</v>
      </c>
      <c r="D31" s="19">
        <v>5</v>
      </c>
      <c r="E31" s="14"/>
      <c r="F31" s="14"/>
      <c r="G31" s="14"/>
    </row>
    <row r="32" spans="1:7" outlineLevel="1" x14ac:dyDescent="0.2">
      <c r="A32" s="3">
        <v>3</v>
      </c>
      <c r="B32" s="4" t="s">
        <v>57</v>
      </c>
      <c r="C32" s="8" t="s">
        <v>58</v>
      </c>
      <c r="D32" s="19">
        <v>5</v>
      </c>
      <c r="E32" s="14"/>
      <c r="F32" s="14"/>
      <c r="G32" s="14"/>
    </row>
    <row r="33" spans="1:7" outlineLevel="1" x14ac:dyDescent="0.2">
      <c r="A33" s="3">
        <v>3</v>
      </c>
      <c r="B33" s="4" t="s">
        <v>59</v>
      </c>
      <c r="C33" s="8" t="s">
        <v>60</v>
      </c>
      <c r="D33" s="19">
        <v>5</v>
      </c>
      <c r="E33" s="14"/>
      <c r="F33" s="14"/>
      <c r="G33" s="14"/>
    </row>
    <row r="34" spans="1:7" s="2" customFormat="1" x14ac:dyDescent="0.2">
      <c r="A34" s="3">
        <v>3</v>
      </c>
      <c r="B34" s="4" t="s">
        <v>61</v>
      </c>
      <c r="C34" s="8" t="s">
        <v>62</v>
      </c>
      <c r="D34" s="19">
        <v>5</v>
      </c>
      <c r="E34" s="16"/>
      <c r="F34" s="16"/>
      <c r="G34" s="16"/>
    </row>
    <row r="35" spans="1:7" x14ac:dyDescent="0.2">
      <c r="A35" s="3">
        <v>1</v>
      </c>
      <c r="B35" s="4">
        <v>4</v>
      </c>
      <c r="C35" s="6" t="s">
        <v>63</v>
      </c>
      <c r="D35" s="15">
        <f>D36+D42</f>
        <v>30</v>
      </c>
      <c r="E35" s="15">
        <f t="shared" ref="E35:G35" si="8">E36+E42</f>
        <v>0</v>
      </c>
      <c r="F35" s="15">
        <f t="shared" si="8"/>
        <v>0</v>
      </c>
      <c r="G35" s="15">
        <f t="shared" si="8"/>
        <v>0</v>
      </c>
    </row>
    <row r="36" spans="1:7" x14ac:dyDescent="0.2">
      <c r="A36" s="3">
        <v>2</v>
      </c>
      <c r="B36" s="4" t="s">
        <v>64</v>
      </c>
      <c r="C36" s="7" t="s">
        <v>65</v>
      </c>
      <c r="D36" s="18">
        <f>SUM(D37:D41)*15/25</f>
        <v>15</v>
      </c>
      <c r="E36" s="18">
        <f t="shared" ref="E36:G36" si="9">SUM(E37:E41)*15/25</f>
        <v>0</v>
      </c>
      <c r="F36" s="18">
        <f t="shared" si="9"/>
        <v>0</v>
      </c>
      <c r="G36" s="18">
        <f t="shared" si="9"/>
        <v>0</v>
      </c>
    </row>
    <row r="37" spans="1:7" x14ac:dyDescent="0.2">
      <c r="A37" s="3">
        <v>3</v>
      </c>
      <c r="B37" s="4" t="s">
        <v>66</v>
      </c>
      <c r="C37" s="8" t="s">
        <v>67</v>
      </c>
      <c r="D37" s="19">
        <v>5</v>
      </c>
      <c r="E37" s="14"/>
      <c r="F37" s="14"/>
      <c r="G37" s="14"/>
    </row>
    <row r="38" spans="1:7" x14ac:dyDescent="0.2">
      <c r="A38" s="3">
        <v>3</v>
      </c>
      <c r="B38" s="4" t="s">
        <v>68</v>
      </c>
      <c r="C38" s="8" t="s">
        <v>69</v>
      </c>
      <c r="D38" s="19">
        <v>5</v>
      </c>
      <c r="E38" s="14"/>
      <c r="F38" s="14"/>
      <c r="G38" s="14"/>
    </row>
    <row r="39" spans="1:7" x14ac:dyDescent="0.2">
      <c r="A39" s="3">
        <v>3</v>
      </c>
      <c r="B39" s="4" t="s">
        <v>70</v>
      </c>
      <c r="C39" s="8" t="s">
        <v>71</v>
      </c>
      <c r="D39" s="19">
        <v>5</v>
      </c>
      <c r="E39" s="14"/>
      <c r="F39" s="14"/>
      <c r="G39" s="14"/>
    </row>
    <row r="40" spans="1:7" x14ac:dyDescent="0.2">
      <c r="A40" s="3">
        <v>3</v>
      </c>
      <c r="B40" s="4" t="s">
        <v>72</v>
      </c>
      <c r="C40" s="8" t="s">
        <v>73</v>
      </c>
      <c r="D40" s="19">
        <v>5</v>
      </c>
      <c r="E40" s="14"/>
      <c r="F40" s="14"/>
      <c r="G40" s="14"/>
    </row>
    <row r="41" spans="1:7" x14ac:dyDescent="0.2">
      <c r="A41" s="3">
        <v>3</v>
      </c>
      <c r="B41" s="4" t="s">
        <v>74</v>
      </c>
      <c r="C41" s="8" t="s">
        <v>75</v>
      </c>
      <c r="D41" s="19">
        <v>5</v>
      </c>
      <c r="E41" s="14"/>
      <c r="F41" s="14"/>
      <c r="G41" s="14"/>
    </row>
    <row r="42" spans="1:7" x14ac:dyDescent="0.2">
      <c r="A42" s="5">
        <v>2</v>
      </c>
      <c r="B42" s="4" t="s">
        <v>76</v>
      </c>
      <c r="C42" s="7" t="s">
        <v>77</v>
      </c>
      <c r="D42" s="18">
        <f>SUM(D43:D48)*15/30</f>
        <v>15</v>
      </c>
      <c r="E42" s="18">
        <f t="shared" ref="E42:G42" si="10">SUM(E43:E48)*15/30</f>
        <v>0</v>
      </c>
      <c r="F42" s="18">
        <f t="shared" si="10"/>
        <v>0</v>
      </c>
      <c r="G42" s="18">
        <f t="shared" si="10"/>
        <v>0</v>
      </c>
    </row>
    <row r="43" spans="1:7" x14ac:dyDescent="0.2">
      <c r="A43" s="3">
        <v>3</v>
      </c>
      <c r="B43" s="4" t="s">
        <v>78</v>
      </c>
      <c r="C43" s="8" t="s">
        <v>79</v>
      </c>
      <c r="D43" s="19">
        <v>5</v>
      </c>
      <c r="E43" s="14"/>
      <c r="F43" s="14"/>
      <c r="G43" s="14"/>
    </row>
    <row r="44" spans="1:7" x14ac:dyDescent="0.2">
      <c r="A44" s="3">
        <v>3</v>
      </c>
      <c r="B44" s="4" t="s">
        <v>80</v>
      </c>
      <c r="C44" s="8" t="s">
        <v>81</v>
      </c>
      <c r="D44" s="19">
        <v>5</v>
      </c>
      <c r="E44" s="14"/>
      <c r="F44" s="14"/>
      <c r="G44" s="14"/>
    </row>
    <row r="45" spans="1:7" x14ac:dyDescent="0.2">
      <c r="A45" s="3">
        <v>3</v>
      </c>
      <c r="B45" s="4" t="s">
        <v>82</v>
      </c>
      <c r="C45" s="8" t="s">
        <v>83</v>
      </c>
      <c r="D45" s="19">
        <v>5</v>
      </c>
      <c r="E45" s="14"/>
      <c r="F45" s="14"/>
      <c r="G45" s="14"/>
    </row>
    <row r="46" spans="1:7" x14ac:dyDescent="0.2">
      <c r="A46" s="3">
        <v>3</v>
      </c>
      <c r="B46" s="4" t="s">
        <v>84</v>
      </c>
      <c r="C46" s="9" t="s">
        <v>85</v>
      </c>
      <c r="D46" s="14">
        <v>5</v>
      </c>
      <c r="E46" s="14"/>
      <c r="F46" s="14"/>
      <c r="G46" s="14"/>
    </row>
    <row r="47" spans="1:7" x14ac:dyDescent="0.2">
      <c r="A47" s="3">
        <v>3</v>
      </c>
      <c r="B47" s="4" t="s">
        <v>86</v>
      </c>
      <c r="C47" s="9" t="s">
        <v>87</v>
      </c>
      <c r="D47" s="14">
        <v>5</v>
      </c>
      <c r="E47" s="14"/>
      <c r="F47" s="14"/>
      <c r="G47" s="14"/>
    </row>
    <row r="48" spans="1:7" x14ac:dyDescent="0.2">
      <c r="A48" s="3">
        <v>3</v>
      </c>
      <c r="B48" s="4" t="s">
        <v>88</v>
      </c>
      <c r="C48" s="8" t="s">
        <v>89</v>
      </c>
      <c r="D48" s="19">
        <v>5</v>
      </c>
      <c r="E48" s="14"/>
      <c r="F48" s="14"/>
      <c r="G48" s="14"/>
    </row>
    <row r="52" spans="1:7" x14ac:dyDescent="0.2">
      <c r="C52" t="s">
        <v>90</v>
      </c>
      <c r="D52" s="12">
        <f>D35+D19+D16+D6</f>
        <v>100</v>
      </c>
      <c r="E52" s="17">
        <f>E6+E16+E19+E35</f>
        <v>0</v>
      </c>
      <c r="F52" s="17">
        <f>F6+F16+F19+F35</f>
        <v>0</v>
      </c>
      <c r="G52" s="17">
        <f>G6+G16+G19+G35</f>
        <v>0</v>
      </c>
    </row>
    <row r="54" spans="1:7" ht="91.5" customHeight="1" x14ac:dyDescent="0.2">
      <c r="A54" s="21" t="s">
        <v>91</v>
      </c>
      <c r="B54" s="22"/>
      <c r="C54" s="22"/>
      <c r="D54" s="22"/>
      <c r="E54" s="22"/>
      <c r="F54" s="22"/>
      <c r="G54" s="22"/>
    </row>
  </sheetData>
  <autoFilter ref="A3:G50" xr:uid="{00000000-0009-0000-0000-000000000000}"/>
  <mergeCells count="2">
    <mergeCell ref="A1:G1"/>
    <mergeCell ref="A54:G54"/>
  </mergeCells>
  <phoneticPr fontId="0" type="noConversion"/>
  <pageMargins left="0.75" right="0.75" top="1.4" bottom="1.6" header="0.5" footer="0.5"/>
  <pageSetup scale="87" fitToHeight="2" orientation="portrait" horizontalDpi="4294967295" verticalDpi="360" r:id="rId1"/>
  <headerFooter alignWithMargins="0">
    <oddHeader>&amp;C&amp;G</oddHeader>
    <oddFooter>&amp;CCra. 18 No. 86A-14  -  TEL: 57-1- 638 64 42  -  FAX: 57-1- 616 30 30
e-mail: info@gpmcg.com  - Bogotá D.C.  - Colombia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C2E94BA26B184CBB6282D7591E99F9" ma:contentTypeVersion="16" ma:contentTypeDescription="Crear nuevo documento." ma:contentTypeScope="" ma:versionID="d2cced94f7dcc45aa1f33cd122d49447">
  <xsd:schema xmlns:xsd="http://www.w3.org/2001/XMLSchema" xmlns:xs="http://www.w3.org/2001/XMLSchema" xmlns:p="http://schemas.microsoft.com/office/2006/metadata/properties" xmlns:ns2="1a860d3e-6179-436c-977f-c8fec32702f9" xmlns:ns3="975eb909-7871-4881-a0e4-375dc0be4505" targetNamespace="http://schemas.microsoft.com/office/2006/metadata/properties" ma:root="true" ma:fieldsID="fd8633f808c4f6ac46999f2159d7c5c0" ns2:_="" ns3:_="">
    <xsd:import namespace="1a860d3e-6179-436c-977f-c8fec32702f9"/>
    <xsd:import namespace="975eb909-7871-4881-a0e4-375dc0be450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860d3e-6179-436c-977f-c8fec32702f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57bf8d-d566-4d19-80db-30c522907b41}" ma:internalName="TaxCatchAll" ma:showField="CatchAllData" ma:web="1a860d3e-6179-436c-977f-c8fec32702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5eb909-7871-4881-a0e4-375dc0be45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a860d3e-6179-436c-977f-c8fec32702f9" xsi:nil="true"/>
    <lcf76f155ced4ddcb4097134ff3c332f xmlns="975eb909-7871-4881-a0e4-375dc0be45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1BC373-6F41-4BD7-85C1-0316D1AFC0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527615-4E11-4289-B48A-1756771BA968}"/>
</file>

<file path=customXml/itemProps3.xml><?xml version="1.0" encoding="utf-8"?>
<ds:datastoreItem xmlns:ds="http://schemas.openxmlformats.org/officeDocument/2006/customXml" ds:itemID="{180ADEF5-5853-46E2-9694-F07E2D987178}">
  <ds:schemaRefs>
    <ds:schemaRef ds:uri="http://www.w3.org/XML/1998/namespace"/>
    <ds:schemaRef ds:uri="http://purl.org/dc/terms/"/>
    <ds:schemaRef ds:uri="12cbf040-f84f-4655-9571-655f54da210a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5a80ab3e-66ba-443f-a6b3-4ca651391543"/>
    <ds:schemaRef ds:uri="1b39491d-f095-48a9-bc30-bbf42388be4a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Plantilla</vt:lpstr>
      <vt:lpstr>Plantilla!Área_de_impresión</vt:lpstr>
    </vt:vector>
  </TitlesOfParts>
  <Manager/>
  <Company>Compañías DeLima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Dpto Nacional de Sistemas</dc:creator>
  <cp:keywords/>
  <dc:description/>
  <cp:lastModifiedBy>Ana Valeria Mendoza Cipagauta</cp:lastModifiedBy>
  <cp:revision/>
  <dcterms:created xsi:type="dcterms:W3CDTF">1996-04-11T22:37:24Z</dcterms:created>
  <dcterms:modified xsi:type="dcterms:W3CDTF">2023-01-20T15:54:24Z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0x010100E9F21D0CA6FE02459206DCE6EDEFCD2F</vt:lpwstr>
  </property>
</Properties>
</file>