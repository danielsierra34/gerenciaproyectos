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Debian\home\debian\uniandes\MISW4305-Gerencia-de-Proyectos\semana 2\OUTPUT\"/>
    </mc:Choice>
  </mc:AlternateContent>
  <xr:revisionPtr revIDLastSave="0" documentId="13_ncr:1_{F555D984-30A0-41F0-B83F-27E07DB7A9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pesos" sheetId="1" r:id="rId1"/>
  </sheets>
  <definedNames>
    <definedName name="_xlnm._FilterDatabase" localSheetId="0" hidden="1">'Matriz de pesos'!$A$3:$G$50</definedName>
    <definedName name="_xlnm.Print_Area" localSheetId="0">'Matriz de pesos'!$A$1:$G$54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G42" i="1"/>
  <c r="G35" i="1" s="1"/>
  <c r="F42" i="1"/>
  <c r="E42" i="1"/>
  <c r="G36" i="1"/>
  <c r="F36" i="1"/>
  <c r="E36" i="1"/>
  <c r="G29" i="1"/>
  <c r="F29" i="1"/>
  <c r="E29" i="1"/>
  <c r="G23" i="1"/>
  <c r="F23" i="1"/>
  <c r="E23" i="1"/>
  <c r="G20" i="1"/>
  <c r="F20" i="1"/>
  <c r="F19" i="1" s="1"/>
  <c r="E20" i="1"/>
  <c r="E19" i="1" s="1"/>
  <c r="G16" i="1"/>
  <c r="F16" i="1"/>
  <c r="E16" i="1"/>
  <c r="G12" i="1"/>
  <c r="F12" i="1"/>
  <c r="E12" i="1"/>
  <c r="G7" i="1"/>
  <c r="G6" i="1" s="1"/>
  <c r="F7" i="1"/>
  <c r="F6" i="1" s="1"/>
  <c r="E7" i="1"/>
  <c r="F35" i="1" l="1"/>
  <c r="E35" i="1"/>
  <c r="G19" i="1"/>
  <c r="E6" i="1"/>
  <c r="E52" i="1"/>
  <c r="F52" i="1"/>
  <c r="G52" i="1"/>
</calcChain>
</file>

<file path=xl/sharedStrings.xml><?xml version="1.0" encoding="utf-8"?>
<sst xmlns="http://schemas.openxmlformats.org/spreadsheetml/2006/main" count="94" uniqueCount="94">
  <si>
    <t>MATRIZ DE PUNTUACIÓN DE PESO PARA SOFTWARE ELECTORAL</t>
  </si>
  <si>
    <t>Pesos</t>
  </si>
  <si>
    <t>Singapur</t>
  </si>
  <si>
    <t>España</t>
  </si>
  <si>
    <t>India</t>
  </si>
  <si>
    <t>Nivel</t>
  </si>
  <si>
    <t>No.</t>
  </si>
  <si>
    <t>Descripcion</t>
  </si>
  <si>
    <t>PROVEEDOR</t>
  </si>
  <si>
    <t>1.1</t>
  </si>
  <si>
    <t>Información General</t>
  </si>
  <si>
    <t>1.1.1</t>
  </si>
  <si>
    <t>Solidez de la empresa</t>
  </si>
  <si>
    <t>1.1.2</t>
  </si>
  <si>
    <t>Cumplimiento del proveedor / Referencias</t>
  </si>
  <si>
    <t>1.1.3</t>
  </si>
  <si>
    <t>Calidad de las entregas / Referencias</t>
  </si>
  <si>
    <t>1.1.4</t>
  </si>
  <si>
    <t>Contratos vigentes</t>
  </si>
  <si>
    <t>1.2</t>
  </si>
  <si>
    <t>Experiencia</t>
  </si>
  <si>
    <t>1.2.1</t>
  </si>
  <si>
    <t>Experiencia del proveedor en soluciones similares a la ofrecida</t>
  </si>
  <si>
    <t>1.2.2</t>
  </si>
  <si>
    <t>Experiencia en implantación del producto</t>
  </si>
  <si>
    <t>1.2.3</t>
  </si>
  <si>
    <t>Experiencia del equipo de trabajo comprometido como recurso del proyecto</t>
  </si>
  <si>
    <t>COSTOS</t>
  </si>
  <si>
    <t>2.1</t>
  </si>
  <si>
    <t>La oferta realizada es la de menor cuantia</t>
  </si>
  <si>
    <t>2.2</t>
  </si>
  <si>
    <t>Respaldo financiero para la ejecución del proyecto</t>
  </si>
  <si>
    <t>INFRAESTRUCTURA</t>
  </si>
  <si>
    <t>3.1</t>
  </si>
  <si>
    <t>Centros de recepción telefonica (CRT)</t>
  </si>
  <si>
    <t>3.1.1</t>
  </si>
  <si>
    <t>Número de CRT ofrecidos</t>
  </si>
  <si>
    <t>3.1.2</t>
  </si>
  <si>
    <t>Distribución de CRT a nivel nacional</t>
  </si>
  <si>
    <t>3.2</t>
  </si>
  <si>
    <t>Hardware</t>
  </si>
  <si>
    <t>3.2.1</t>
  </si>
  <si>
    <t>DataCenter</t>
  </si>
  <si>
    <t>3.2.2</t>
  </si>
  <si>
    <t>Dispositivos de identificación de radiofrecuencia (RFID)</t>
  </si>
  <si>
    <t>3.2.3</t>
  </si>
  <si>
    <t>Equipos de identificación biométrica</t>
  </si>
  <si>
    <t>3.2.4</t>
  </si>
  <si>
    <t>Computadores</t>
  </si>
  <si>
    <t>3.2.5</t>
  </si>
  <si>
    <t>Equipo de comunicaciones</t>
  </si>
  <si>
    <t>3.3</t>
  </si>
  <si>
    <t>Software</t>
  </si>
  <si>
    <t>3.3.1</t>
  </si>
  <si>
    <t>Licencias de uso/Registro derechos de autor</t>
  </si>
  <si>
    <t>3.3.2</t>
  </si>
  <si>
    <t>Cumplimiento de requisitos funcionales</t>
  </si>
  <si>
    <t>3.3.3</t>
  </si>
  <si>
    <t>Compatibilidad con sistema biometrico de huellas dactilares</t>
  </si>
  <si>
    <t>3.3.4</t>
  </si>
  <si>
    <t>Base de datos relacional de alta transaccionalidad</t>
  </si>
  <si>
    <t>3.3.5</t>
  </si>
  <si>
    <t>Compatibilidad con los navegadores más comunes</t>
  </si>
  <si>
    <t>PRODUCTO</t>
  </si>
  <si>
    <t>4.1</t>
  </si>
  <si>
    <t>Atributos de calidad</t>
  </si>
  <si>
    <t>4.1.1</t>
  </si>
  <si>
    <t>Seguridad/Auditoria</t>
  </si>
  <si>
    <t>4.1.2</t>
  </si>
  <si>
    <t>Fiabilidad</t>
  </si>
  <si>
    <t>4.1.3</t>
  </si>
  <si>
    <t>Escalabilidad</t>
  </si>
  <si>
    <t>4.1.4</t>
  </si>
  <si>
    <t>Rendimiento</t>
  </si>
  <si>
    <t>4.1.5</t>
  </si>
  <si>
    <t>Usabilidad</t>
  </si>
  <si>
    <t>4.2</t>
  </si>
  <si>
    <t>Implantación</t>
  </si>
  <si>
    <t>4.2.1</t>
  </si>
  <si>
    <t>Configuración/Parametrización</t>
  </si>
  <si>
    <t>4.2.2</t>
  </si>
  <si>
    <t>Apoyo ofrecido por el proveedor/ recurso humano disponible durante la jornada electoral</t>
  </si>
  <si>
    <t>4.2.3</t>
  </si>
  <si>
    <t>Compatibilidad de la solución ofrecida con aplicaciones en uso</t>
  </si>
  <si>
    <t>4.2.4</t>
  </si>
  <si>
    <t>Recursos necesarios para la implantación de la solución ofrecida</t>
  </si>
  <si>
    <t>4.2.5</t>
  </si>
  <si>
    <t>Tiempo necesario para la implantación de la solución ofrecida</t>
  </si>
  <si>
    <t>4.2.6</t>
  </si>
  <si>
    <t>Plan de contingencia técnica</t>
  </si>
  <si>
    <t>Conclusión</t>
  </si>
  <si>
    <t>Con los pesos definidos para un software electoral, India obtiene el mayor puntaje por su menor costo, cobertura de 12 CRT, distribución nacional, infraestructura AWS, compatibilidad biométrica y plan de contingencia completo. Antes de adjudicar, se debe mitigar la insuficiencia del equipo y fortalecer el plan de capacitación.</t>
  </si>
  <si>
    <t>TOTAL</t>
  </si>
  <si>
    <t>© - Derechos Reservados: la presente obra, y en general todos sus contenidos, se encuentran protegidos por las normas internacionales y nacionales vigentes sobre propiedad Intelectual, por lo tanto su utilización parcial o total, reproducción, comunicación pública, transformación, distribución, alquiler, préstamo público e importación, total o parcial, en todo o en parte, en formato impreso o digital y en cualquier formato conocido o por conocer, se encuentran prohibidos, y solo serán lícitos en la medida en que se cuente con la autorización previa y expresa por escrito de la Universidad de los Andes.
De igual manera, la utilización de la imagen de las personas, docentes o estudiantes, sin su previa autorización está expresamente prohibida. En caso de incumplirse con lo mencionado, se procederá de conformidad con los reglamentos y políticas de la universidad, sin perjuicio de las demás acciones legales aplicables.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</si>
</sst>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2" fontId="7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2" fontId="5" fillId="3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5" borderId="0" xfId="0" applyFont="1" applyFill="1" applyAlignment="1">
      <alignment horizontal="left" vertical="center" wrapText="1"/>
    </xf>
    <xf numFmtId="2" fontId="7" fillId="5" borderId="0" xfId="0" applyNumberFormat="1" applyFont="1" applyFill="1" applyAlignment="1">
      <alignment horizontal="left" vertical="center" wrapText="1"/>
    </xf>
    <xf numFmtId="2" fontId="7" fillId="5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4"/>
  <sheetViews>
    <sheetView tabSelected="1" zoomScale="130" workbookViewId="0">
      <selection activeCell="C56" sqref="C56"/>
    </sheetView>
  </sheetViews>
  <sheetFormatPr baseColWidth="10" defaultColWidth="11.44140625" defaultRowHeight="13.2" outlineLevelRow="1" x14ac:dyDescent="0.25"/>
  <cols>
    <col min="1" max="1" width="10" customWidth="1"/>
    <col min="2" max="2" width="10" style="1" customWidth="1"/>
    <col min="3" max="3" width="58" customWidth="1"/>
    <col min="4" max="4" width="14" style="3" customWidth="1"/>
    <col min="5" max="5" width="14" style="4" customWidth="1"/>
    <col min="6" max="6" width="14" style="4" bestFit="1" customWidth="1"/>
    <col min="7" max="7" width="14" customWidth="1"/>
    <col min="8" max="9" width="8.6640625" customWidth="1"/>
    <col min="10" max="10" width="11.33203125" bestFit="1" customWidth="1"/>
    <col min="11" max="257" width="8.6640625" customWidth="1"/>
  </cols>
  <sheetData>
    <row r="1" spans="1:7" ht="16.95" customHeight="1" x14ac:dyDescent="0.25">
      <c r="A1" s="25" t="s">
        <v>0</v>
      </c>
      <c r="B1" s="23"/>
      <c r="C1" s="23"/>
      <c r="D1" s="23"/>
      <c r="E1" s="23"/>
      <c r="F1" s="23"/>
      <c r="G1" s="23"/>
    </row>
    <row r="2" spans="1:7" x14ac:dyDescent="0.25">
      <c r="A2" s="5"/>
      <c r="B2" s="5"/>
      <c r="C2" s="5"/>
      <c r="D2" s="5"/>
      <c r="E2" s="5"/>
      <c r="F2" s="5"/>
      <c r="G2" s="5"/>
    </row>
    <row r="3" spans="1:7" x14ac:dyDescent="0.25">
      <c r="A3" s="5"/>
      <c r="B3" s="5"/>
      <c r="C3" s="5"/>
      <c r="D3" s="6" t="s">
        <v>1</v>
      </c>
      <c r="E3" s="7" t="s">
        <v>2</v>
      </c>
      <c r="F3" s="7" t="s">
        <v>3</v>
      </c>
      <c r="G3" s="7" t="s">
        <v>4</v>
      </c>
    </row>
    <row r="4" spans="1:7" x14ac:dyDescent="0.25">
      <c r="A4" s="5"/>
      <c r="B4" s="5"/>
      <c r="C4" s="5"/>
      <c r="D4" s="5"/>
      <c r="E4" s="7"/>
      <c r="F4" s="7"/>
      <c r="G4" s="7"/>
    </row>
    <row r="5" spans="1:7" x14ac:dyDescent="0.25">
      <c r="A5" s="5" t="s">
        <v>5</v>
      </c>
      <c r="B5" s="5" t="s">
        <v>6</v>
      </c>
      <c r="C5" s="5" t="s">
        <v>7</v>
      </c>
      <c r="D5" s="5"/>
      <c r="E5" s="5"/>
      <c r="F5" s="5"/>
      <c r="G5" s="5"/>
    </row>
    <row r="6" spans="1:7" x14ac:dyDescent="0.25">
      <c r="A6" s="8">
        <v>1</v>
      </c>
      <c r="B6" s="8">
        <v>1</v>
      </c>
      <c r="C6" s="9" t="s">
        <v>8</v>
      </c>
      <c r="D6" s="10">
        <v>20</v>
      </c>
      <c r="E6" s="10">
        <f>E7+E12</f>
        <v>12.627450980392156</v>
      </c>
      <c r="F6" s="10">
        <f>F7+F12</f>
        <v>17.490196078431374</v>
      </c>
      <c r="G6" s="10">
        <f>G7+G12</f>
        <v>12</v>
      </c>
    </row>
    <row r="7" spans="1:7" s="2" customFormat="1" x14ac:dyDescent="0.25">
      <c r="A7" s="11">
        <v>2</v>
      </c>
      <c r="B7" s="11" t="s">
        <v>9</v>
      </c>
      <c r="C7" s="12" t="s">
        <v>10</v>
      </c>
      <c r="D7" s="13">
        <v>10</v>
      </c>
      <c r="E7" s="13">
        <f>SUMPRODUCT($D$8:$D$11,E8:E11)/SUM($D$8:$D$11)/5*10</f>
        <v>7.2941176470588234</v>
      </c>
      <c r="F7" s="13">
        <f>SUMPRODUCT($D$8:$D$11,F8:F11)/SUM($D$8:$D$11)/5*10</f>
        <v>8.8235294117647065</v>
      </c>
      <c r="G7" s="13">
        <f>SUMPRODUCT($D$8:$D$11,G8:G11)/SUM($D$8:$D$11)/5*10</f>
        <v>6</v>
      </c>
    </row>
    <row r="8" spans="1:7" ht="13.5" customHeight="1" outlineLevel="1" x14ac:dyDescent="0.25">
      <c r="A8" s="11">
        <v>3</v>
      </c>
      <c r="B8" s="11" t="s">
        <v>11</v>
      </c>
      <c r="C8" s="14" t="s">
        <v>12</v>
      </c>
      <c r="D8" s="15">
        <v>4</v>
      </c>
      <c r="E8" s="16">
        <v>4</v>
      </c>
      <c r="F8" s="16">
        <v>5</v>
      </c>
      <c r="G8" s="16">
        <v>3</v>
      </c>
    </row>
    <row r="9" spans="1:7" ht="13.5" customHeight="1" outlineLevel="1" x14ac:dyDescent="0.25">
      <c r="A9" s="5">
        <v>3</v>
      </c>
      <c r="B9" s="11" t="s">
        <v>13</v>
      </c>
      <c r="C9" s="17" t="s">
        <v>14</v>
      </c>
      <c r="D9" s="16">
        <v>5</v>
      </c>
      <c r="E9" s="16">
        <v>4</v>
      </c>
      <c r="F9" s="16">
        <v>4</v>
      </c>
      <c r="G9" s="16">
        <v>3</v>
      </c>
    </row>
    <row r="10" spans="1:7" ht="13.5" customHeight="1" outlineLevel="1" x14ac:dyDescent="0.25">
      <c r="A10" s="5">
        <v>3</v>
      </c>
      <c r="B10" s="11" t="s">
        <v>15</v>
      </c>
      <c r="C10" s="17" t="s">
        <v>16</v>
      </c>
      <c r="D10" s="16">
        <v>5</v>
      </c>
      <c r="E10" s="16">
        <v>4</v>
      </c>
      <c r="F10" s="16">
        <v>4</v>
      </c>
      <c r="G10" s="16">
        <v>3</v>
      </c>
    </row>
    <row r="11" spans="1:7" ht="13.5" customHeight="1" outlineLevel="1" x14ac:dyDescent="0.25">
      <c r="A11" s="5">
        <v>3</v>
      </c>
      <c r="B11" s="11" t="s">
        <v>17</v>
      </c>
      <c r="C11" s="17" t="s">
        <v>18</v>
      </c>
      <c r="D11" s="16">
        <v>3</v>
      </c>
      <c r="E11" s="16">
        <v>2</v>
      </c>
      <c r="F11" s="16">
        <v>5</v>
      </c>
      <c r="G11" s="16">
        <v>3</v>
      </c>
    </row>
    <row r="12" spans="1:7" outlineLevel="1" x14ac:dyDescent="0.25">
      <c r="A12" s="5">
        <v>2</v>
      </c>
      <c r="B12" s="11" t="s">
        <v>19</v>
      </c>
      <c r="C12" s="12" t="s">
        <v>20</v>
      </c>
      <c r="D12" s="13">
        <v>10</v>
      </c>
      <c r="E12" s="13">
        <f>SUMPRODUCT($D$13:$D$15,E13:E15)/SUM($D$13:$D$15)/5*10</f>
        <v>5.333333333333333</v>
      </c>
      <c r="F12" s="13">
        <f>SUMPRODUCT($D$13:$D$15,F13:F15)/SUM($D$13:$D$15)/5*10</f>
        <v>8.6666666666666661</v>
      </c>
      <c r="G12" s="13">
        <f>SUMPRODUCT($D$13:$D$15,G13:G15)/SUM($D$13:$D$15)/5*10</f>
        <v>6</v>
      </c>
    </row>
    <row r="13" spans="1:7" outlineLevel="1" x14ac:dyDescent="0.25">
      <c r="A13" s="5">
        <v>3</v>
      </c>
      <c r="B13" s="11" t="s">
        <v>21</v>
      </c>
      <c r="C13" s="17" t="s">
        <v>22</v>
      </c>
      <c r="D13" s="16">
        <v>5</v>
      </c>
      <c r="E13" s="16">
        <v>2</v>
      </c>
      <c r="F13" s="16">
        <v>4</v>
      </c>
      <c r="G13" s="16">
        <v>3</v>
      </c>
    </row>
    <row r="14" spans="1:7" outlineLevel="1" x14ac:dyDescent="0.25">
      <c r="A14" s="5">
        <v>3</v>
      </c>
      <c r="B14" s="11" t="s">
        <v>23</v>
      </c>
      <c r="C14" s="14" t="s">
        <v>24</v>
      </c>
      <c r="D14" s="15">
        <v>5</v>
      </c>
      <c r="E14" s="16">
        <v>1</v>
      </c>
      <c r="F14" s="16">
        <v>4</v>
      </c>
      <c r="G14" s="16">
        <v>3</v>
      </c>
    </row>
    <row r="15" spans="1:7" ht="26.4" outlineLevel="1" x14ac:dyDescent="0.25">
      <c r="A15" s="5">
        <v>3</v>
      </c>
      <c r="B15" s="11" t="s">
        <v>25</v>
      </c>
      <c r="C15" s="17" t="s">
        <v>26</v>
      </c>
      <c r="D15" s="16">
        <v>5</v>
      </c>
      <c r="E15" s="16">
        <v>5</v>
      </c>
      <c r="F15" s="16">
        <v>5</v>
      </c>
      <c r="G15" s="16">
        <v>3</v>
      </c>
    </row>
    <row r="16" spans="1:7" s="2" customFormat="1" x14ac:dyDescent="0.25">
      <c r="A16" s="8">
        <v>1</v>
      </c>
      <c r="B16" s="8">
        <v>2</v>
      </c>
      <c r="C16" s="9" t="s">
        <v>27</v>
      </c>
      <c r="D16" s="10">
        <v>30</v>
      </c>
      <c r="E16" s="10">
        <f>SUMPRODUCT($D$17:$D$18,E17:E18)/SUM($D$17:$D$18)/5*30</f>
        <v>21.428571428571431</v>
      </c>
      <c r="F16" s="10">
        <f>SUMPRODUCT($D$17:$D$18,F17:F18)/SUM($D$17:$D$18)/5*30</f>
        <v>24.857142857142858</v>
      </c>
      <c r="G16" s="10">
        <f>SUMPRODUCT($D$17:$D$18,G17:G18)/SUM($D$17:$D$18)/5*30</f>
        <v>26.571428571428573</v>
      </c>
    </row>
    <row r="17" spans="1:7" outlineLevel="1" x14ac:dyDescent="0.25">
      <c r="A17" s="11">
        <v>2</v>
      </c>
      <c r="B17" s="11" t="s">
        <v>28</v>
      </c>
      <c r="C17" s="14" t="s">
        <v>29</v>
      </c>
      <c r="D17" s="15">
        <v>3</v>
      </c>
      <c r="E17" s="16">
        <v>3</v>
      </c>
      <c r="F17" s="16">
        <v>3</v>
      </c>
      <c r="G17" s="16">
        <v>5</v>
      </c>
    </row>
    <row r="18" spans="1:7" outlineLevel="1" x14ac:dyDescent="0.25">
      <c r="A18" s="11">
        <v>2</v>
      </c>
      <c r="B18" s="11" t="s">
        <v>30</v>
      </c>
      <c r="C18" s="14" t="s">
        <v>31</v>
      </c>
      <c r="D18" s="15">
        <v>4</v>
      </c>
      <c r="E18" s="16">
        <v>4</v>
      </c>
      <c r="F18" s="16">
        <v>5</v>
      </c>
      <c r="G18" s="16">
        <v>4</v>
      </c>
    </row>
    <row r="19" spans="1:7" outlineLevel="1" x14ac:dyDescent="0.25">
      <c r="A19" s="8">
        <v>1</v>
      </c>
      <c r="B19" s="8">
        <v>3</v>
      </c>
      <c r="C19" s="9" t="s">
        <v>32</v>
      </c>
      <c r="D19" s="10">
        <v>20</v>
      </c>
      <c r="E19" s="10">
        <f>E20+E23+E29</f>
        <v>13.815652173913044</v>
      </c>
      <c r="F19" s="10">
        <f>F20+F23+F29</f>
        <v>13.60695652173913</v>
      </c>
      <c r="G19" s="10">
        <f>G20+G23+G29</f>
        <v>19.213913043478261</v>
      </c>
    </row>
    <row r="20" spans="1:7" outlineLevel="1" x14ac:dyDescent="0.25">
      <c r="A20" s="11">
        <v>2</v>
      </c>
      <c r="B20" s="11" t="s">
        <v>33</v>
      </c>
      <c r="C20" s="12" t="s">
        <v>34</v>
      </c>
      <c r="D20" s="13">
        <v>4</v>
      </c>
      <c r="E20" s="13">
        <f>SUMPRODUCT($D$21:$D$22,E21:E22)/SUM($D$21:$D$22)/5*4</f>
        <v>2.8</v>
      </c>
      <c r="F20" s="13">
        <f>SUMPRODUCT($D$21:$D$22,F21:F22)/SUM($D$21:$D$22)/5*4</f>
        <v>2.8</v>
      </c>
      <c r="G20" s="13">
        <f>SUMPRODUCT($D$21:$D$22,G21:G22)/SUM($D$21:$D$22)/5*4</f>
        <v>4</v>
      </c>
    </row>
    <row r="21" spans="1:7" outlineLevel="1" x14ac:dyDescent="0.25">
      <c r="A21" s="11">
        <v>3</v>
      </c>
      <c r="B21" s="11" t="s">
        <v>35</v>
      </c>
      <c r="C21" s="14" t="s">
        <v>36</v>
      </c>
      <c r="D21" s="15">
        <v>5</v>
      </c>
      <c r="E21" s="16">
        <v>5</v>
      </c>
      <c r="F21" s="16">
        <v>2</v>
      </c>
      <c r="G21" s="16">
        <v>5</v>
      </c>
    </row>
    <row r="22" spans="1:7" outlineLevel="1" x14ac:dyDescent="0.25">
      <c r="A22" s="11">
        <v>3</v>
      </c>
      <c r="B22" s="11" t="s">
        <v>37</v>
      </c>
      <c r="C22" s="14" t="s">
        <v>38</v>
      </c>
      <c r="D22" s="15">
        <v>5</v>
      </c>
      <c r="E22" s="16">
        <v>2</v>
      </c>
      <c r="F22" s="16">
        <v>5</v>
      </c>
      <c r="G22" s="16">
        <v>5</v>
      </c>
    </row>
    <row r="23" spans="1:7" outlineLevel="1" x14ac:dyDescent="0.25">
      <c r="A23" s="11">
        <v>2</v>
      </c>
      <c r="B23" s="11" t="s">
        <v>39</v>
      </c>
      <c r="C23" s="12" t="s">
        <v>40</v>
      </c>
      <c r="D23" s="13">
        <v>8</v>
      </c>
      <c r="E23" s="13">
        <f>SUMPRODUCT($D$24:$D$28,E24:E28)/SUM($D$24:$D$28)/5*8</f>
        <v>5.5200000000000005</v>
      </c>
      <c r="F23" s="13">
        <f>SUMPRODUCT($D$24:$D$28,F24:F28)/SUM($D$24:$D$28)/5*8</f>
        <v>5.5200000000000005</v>
      </c>
      <c r="G23" s="13">
        <f>SUMPRODUCT($D$24:$D$28,G24:G28)/SUM($D$24:$D$28)/5*8</f>
        <v>7.8400000000000007</v>
      </c>
    </row>
    <row r="24" spans="1:7" outlineLevel="1" x14ac:dyDescent="0.25">
      <c r="A24" s="11">
        <v>3</v>
      </c>
      <c r="B24" s="11" t="s">
        <v>41</v>
      </c>
      <c r="C24" s="14" t="s">
        <v>42</v>
      </c>
      <c r="D24" s="15">
        <v>5</v>
      </c>
      <c r="E24" s="16">
        <v>4</v>
      </c>
      <c r="F24" s="16">
        <v>5</v>
      </c>
      <c r="G24" s="16">
        <v>5</v>
      </c>
    </row>
    <row r="25" spans="1:7" outlineLevel="1" x14ac:dyDescent="0.25">
      <c r="A25" s="11">
        <v>3</v>
      </c>
      <c r="B25" s="11" t="s">
        <v>43</v>
      </c>
      <c r="C25" s="14" t="s">
        <v>44</v>
      </c>
      <c r="D25" s="15">
        <v>1</v>
      </c>
      <c r="E25" s="16">
        <v>3</v>
      </c>
      <c r="F25" s="16">
        <v>3</v>
      </c>
      <c r="G25" s="16">
        <v>3</v>
      </c>
    </row>
    <row r="26" spans="1:7" outlineLevel="1" x14ac:dyDescent="0.25">
      <c r="A26" s="11">
        <v>3</v>
      </c>
      <c r="B26" s="11" t="s">
        <v>45</v>
      </c>
      <c r="C26" s="14" t="s">
        <v>46</v>
      </c>
      <c r="D26" s="15">
        <v>5</v>
      </c>
      <c r="E26" s="16">
        <v>3</v>
      </c>
      <c r="F26" s="16">
        <v>1</v>
      </c>
      <c r="G26" s="16">
        <v>5</v>
      </c>
    </row>
    <row r="27" spans="1:7" outlineLevel="1" x14ac:dyDescent="0.25">
      <c r="A27" s="11">
        <v>3</v>
      </c>
      <c r="B27" s="11" t="s">
        <v>47</v>
      </c>
      <c r="C27" s="14" t="s">
        <v>48</v>
      </c>
      <c r="D27" s="15">
        <v>4</v>
      </c>
      <c r="E27" s="16">
        <v>4</v>
      </c>
      <c r="F27" s="16">
        <v>4</v>
      </c>
      <c r="G27" s="16">
        <v>5</v>
      </c>
    </row>
    <row r="28" spans="1:7" outlineLevel="1" x14ac:dyDescent="0.25">
      <c r="A28" s="11">
        <v>3</v>
      </c>
      <c r="B28" s="11" t="s">
        <v>49</v>
      </c>
      <c r="C28" s="14" t="s">
        <v>50</v>
      </c>
      <c r="D28" s="15">
        <v>5</v>
      </c>
      <c r="E28" s="16">
        <v>3</v>
      </c>
      <c r="F28" s="16">
        <v>4</v>
      </c>
      <c r="G28" s="16">
        <v>5</v>
      </c>
    </row>
    <row r="29" spans="1:7" outlineLevel="1" x14ac:dyDescent="0.25">
      <c r="A29" s="11">
        <v>2</v>
      </c>
      <c r="B29" s="11" t="s">
        <v>51</v>
      </c>
      <c r="C29" s="12" t="s">
        <v>52</v>
      </c>
      <c r="D29" s="13">
        <v>8</v>
      </c>
      <c r="E29" s="13">
        <f>SUMPRODUCT($D$30:$D$34,E30:E34)/SUM($D$30:$D$34)/5*8</f>
        <v>5.4956521739130437</v>
      </c>
      <c r="F29" s="13">
        <f>SUMPRODUCT($D$30:$D$34,F30:F34)/SUM($D$30:$D$34)/5*8</f>
        <v>5.2869565217391301</v>
      </c>
      <c r="G29" s="13">
        <f>SUMPRODUCT($D$30:$D$34,G30:G34)/SUM($D$30:$D$34)/5*8</f>
        <v>7.3739130434782609</v>
      </c>
    </row>
    <row r="30" spans="1:7" outlineLevel="1" x14ac:dyDescent="0.25">
      <c r="A30" s="11">
        <v>3</v>
      </c>
      <c r="B30" s="11" t="s">
        <v>53</v>
      </c>
      <c r="C30" s="14" t="s">
        <v>54</v>
      </c>
      <c r="D30" s="15">
        <v>4</v>
      </c>
      <c r="E30" s="16">
        <v>2</v>
      </c>
      <c r="F30" s="16">
        <v>5</v>
      </c>
      <c r="G30" s="16">
        <v>5</v>
      </c>
    </row>
    <row r="31" spans="1:7" outlineLevel="1" x14ac:dyDescent="0.25">
      <c r="A31" s="11">
        <v>3</v>
      </c>
      <c r="B31" s="11" t="s">
        <v>55</v>
      </c>
      <c r="C31" s="14" t="s">
        <v>56</v>
      </c>
      <c r="D31" s="15">
        <v>5</v>
      </c>
      <c r="E31" s="16">
        <v>4</v>
      </c>
      <c r="F31" s="16">
        <v>2</v>
      </c>
      <c r="G31" s="16">
        <v>4</v>
      </c>
    </row>
    <row r="32" spans="1:7" outlineLevel="1" x14ac:dyDescent="0.25">
      <c r="A32" s="11">
        <v>3</v>
      </c>
      <c r="B32" s="11" t="s">
        <v>57</v>
      </c>
      <c r="C32" s="14" t="s">
        <v>58</v>
      </c>
      <c r="D32" s="15">
        <v>5</v>
      </c>
      <c r="E32" s="16">
        <v>3</v>
      </c>
      <c r="F32" s="16">
        <v>1</v>
      </c>
      <c r="G32" s="16">
        <v>5</v>
      </c>
    </row>
    <row r="33" spans="1:7" outlineLevel="1" x14ac:dyDescent="0.25">
      <c r="A33" s="11">
        <v>3</v>
      </c>
      <c r="B33" s="11" t="s">
        <v>59</v>
      </c>
      <c r="C33" s="14" t="s">
        <v>60</v>
      </c>
      <c r="D33" s="15">
        <v>5</v>
      </c>
      <c r="E33" s="16">
        <v>4</v>
      </c>
      <c r="F33" s="16">
        <v>5</v>
      </c>
      <c r="G33" s="16">
        <v>5</v>
      </c>
    </row>
    <row r="34" spans="1:7" s="2" customFormat="1" x14ac:dyDescent="0.25">
      <c r="A34" s="11">
        <v>3</v>
      </c>
      <c r="B34" s="11" t="s">
        <v>61</v>
      </c>
      <c r="C34" s="14" t="s">
        <v>62</v>
      </c>
      <c r="D34" s="15">
        <v>4</v>
      </c>
      <c r="E34" s="18">
        <v>4</v>
      </c>
      <c r="F34" s="18">
        <v>4</v>
      </c>
      <c r="G34" s="18">
        <v>4</v>
      </c>
    </row>
    <row r="35" spans="1:7" x14ac:dyDescent="0.25">
      <c r="A35" s="8">
        <v>1</v>
      </c>
      <c r="B35" s="8">
        <v>4</v>
      </c>
      <c r="C35" s="9" t="s">
        <v>63</v>
      </c>
      <c r="D35" s="10">
        <v>30</v>
      </c>
      <c r="E35" s="10">
        <f>E36+E42</f>
        <v>25.04</v>
      </c>
      <c r="F35" s="10">
        <f>F36+F42</f>
        <v>26.52</v>
      </c>
      <c r="G35" s="10">
        <f>G36+G42</f>
        <v>25.18</v>
      </c>
    </row>
    <row r="36" spans="1:7" x14ac:dyDescent="0.25">
      <c r="A36" s="11">
        <v>2</v>
      </c>
      <c r="B36" s="11" t="s">
        <v>64</v>
      </c>
      <c r="C36" s="12" t="s">
        <v>65</v>
      </c>
      <c r="D36" s="13">
        <v>15</v>
      </c>
      <c r="E36" s="13">
        <f>SUMPRODUCT($D$37:$D$41,E37:E41)/SUM($D$37:$D$41)/5*15</f>
        <v>14</v>
      </c>
      <c r="F36" s="13">
        <f>SUMPRODUCT($D$37:$D$41,F37:F41)/SUM($D$37:$D$41)/5*15</f>
        <v>15</v>
      </c>
      <c r="G36" s="13">
        <f>SUMPRODUCT($D$37:$D$41,G37:G41)/SUM($D$37:$D$41)/5*15</f>
        <v>14.499999999999998</v>
      </c>
    </row>
    <row r="37" spans="1:7" x14ac:dyDescent="0.25">
      <c r="A37" s="11">
        <v>3</v>
      </c>
      <c r="B37" s="11" t="s">
        <v>66</v>
      </c>
      <c r="C37" s="14" t="s">
        <v>67</v>
      </c>
      <c r="D37" s="15">
        <v>5</v>
      </c>
      <c r="E37" s="16">
        <v>5</v>
      </c>
      <c r="F37" s="16">
        <v>5</v>
      </c>
      <c r="G37" s="16">
        <v>5</v>
      </c>
    </row>
    <row r="38" spans="1:7" x14ac:dyDescent="0.25">
      <c r="A38" s="11">
        <v>3</v>
      </c>
      <c r="B38" s="11" t="s">
        <v>68</v>
      </c>
      <c r="C38" s="14" t="s">
        <v>69</v>
      </c>
      <c r="D38" s="15">
        <v>5</v>
      </c>
      <c r="E38" s="16">
        <v>5</v>
      </c>
      <c r="F38" s="16">
        <v>5</v>
      </c>
      <c r="G38" s="16">
        <v>5</v>
      </c>
    </row>
    <row r="39" spans="1:7" x14ac:dyDescent="0.25">
      <c r="A39" s="11">
        <v>3</v>
      </c>
      <c r="B39" s="11" t="s">
        <v>70</v>
      </c>
      <c r="C39" s="14" t="s">
        <v>71</v>
      </c>
      <c r="D39" s="15">
        <v>5</v>
      </c>
      <c r="E39" s="16">
        <v>5</v>
      </c>
      <c r="F39" s="16">
        <v>5</v>
      </c>
      <c r="G39" s="16">
        <v>5</v>
      </c>
    </row>
    <row r="40" spans="1:7" x14ac:dyDescent="0.25">
      <c r="A40" s="11">
        <v>3</v>
      </c>
      <c r="B40" s="11" t="s">
        <v>72</v>
      </c>
      <c r="C40" s="14" t="s">
        <v>73</v>
      </c>
      <c r="D40" s="15">
        <v>5</v>
      </c>
      <c r="E40" s="16">
        <v>5</v>
      </c>
      <c r="F40" s="16">
        <v>5</v>
      </c>
      <c r="G40" s="16">
        <v>5</v>
      </c>
    </row>
    <row r="41" spans="1:7" x14ac:dyDescent="0.25">
      <c r="A41" s="11">
        <v>3</v>
      </c>
      <c r="B41" s="11" t="s">
        <v>74</v>
      </c>
      <c r="C41" s="14" t="s">
        <v>75</v>
      </c>
      <c r="D41" s="15">
        <v>4</v>
      </c>
      <c r="E41" s="16">
        <v>3</v>
      </c>
      <c r="F41" s="16">
        <v>5</v>
      </c>
      <c r="G41" s="16">
        <v>4</v>
      </c>
    </row>
    <row r="42" spans="1:7" x14ac:dyDescent="0.25">
      <c r="A42" s="19">
        <v>2</v>
      </c>
      <c r="B42" s="11" t="s">
        <v>76</v>
      </c>
      <c r="C42" s="12" t="s">
        <v>77</v>
      </c>
      <c r="D42" s="13">
        <v>15</v>
      </c>
      <c r="E42" s="13">
        <f>SUMPRODUCT($D$43:$D$48,E43:E48)/SUM($D$43:$D$48)/5*15</f>
        <v>11.04</v>
      </c>
      <c r="F42" s="13">
        <f>SUMPRODUCT($D$43:$D$48,F43:F48)/SUM($D$43:$D$48)/5*15</f>
        <v>11.52</v>
      </c>
      <c r="G42" s="13">
        <f>SUMPRODUCT($D$43:$D$48,G43:G48)/SUM($D$43:$D$48)/5*15</f>
        <v>10.68</v>
      </c>
    </row>
    <row r="43" spans="1:7" x14ac:dyDescent="0.25">
      <c r="A43" s="11">
        <v>3</v>
      </c>
      <c r="B43" s="11" t="s">
        <v>78</v>
      </c>
      <c r="C43" s="14" t="s">
        <v>79</v>
      </c>
      <c r="D43" s="15">
        <v>4</v>
      </c>
      <c r="E43" s="16">
        <v>5</v>
      </c>
      <c r="F43" s="16">
        <v>5</v>
      </c>
      <c r="G43" s="16">
        <v>3</v>
      </c>
    </row>
    <row r="44" spans="1:7" ht="26.4" x14ac:dyDescent="0.25">
      <c r="A44" s="11">
        <v>3</v>
      </c>
      <c r="B44" s="11" t="s">
        <v>80</v>
      </c>
      <c r="C44" s="14" t="s">
        <v>81</v>
      </c>
      <c r="D44" s="15">
        <v>5</v>
      </c>
      <c r="E44" s="16">
        <v>5</v>
      </c>
      <c r="F44" s="16">
        <v>5</v>
      </c>
      <c r="G44" s="16">
        <v>3</v>
      </c>
    </row>
    <row r="45" spans="1:7" x14ac:dyDescent="0.25">
      <c r="A45" s="11">
        <v>3</v>
      </c>
      <c r="B45" s="11" t="s">
        <v>82</v>
      </c>
      <c r="C45" s="14" t="s">
        <v>83</v>
      </c>
      <c r="D45" s="15">
        <v>3</v>
      </c>
      <c r="E45" s="16">
        <v>3</v>
      </c>
      <c r="F45" s="16">
        <v>3</v>
      </c>
      <c r="G45" s="16">
        <v>3</v>
      </c>
    </row>
    <row r="46" spans="1:7" x14ac:dyDescent="0.25">
      <c r="A46" s="11">
        <v>3</v>
      </c>
      <c r="B46" s="11" t="s">
        <v>84</v>
      </c>
      <c r="C46" s="17" t="s">
        <v>85</v>
      </c>
      <c r="D46" s="16">
        <v>4</v>
      </c>
      <c r="E46" s="16">
        <v>4</v>
      </c>
      <c r="F46" s="16">
        <v>4</v>
      </c>
      <c r="G46" s="16">
        <v>4</v>
      </c>
    </row>
    <row r="47" spans="1:7" x14ac:dyDescent="0.25">
      <c r="A47" s="11">
        <v>3</v>
      </c>
      <c r="B47" s="11" t="s">
        <v>86</v>
      </c>
      <c r="C47" s="17" t="s">
        <v>87</v>
      </c>
      <c r="D47" s="16">
        <v>4</v>
      </c>
      <c r="E47" s="16">
        <v>3</v>
      </c>
      <c r="F47" s="16">
        <v>4</v>
      </c>
      <c r="G47" s="16">
        <v>3</v>
      </c>
    </row>
    <row r="48" spans="1:7" x14ac:dyDescent="0.25">
      <c r="A48" s="11">
        <v>3</v>
      </c>
      <c r="B48" s="11" t="s">
        <v>88</v>
      </c>
      <c r="C48" s="14" t="s">
        <v>89</v>
      </c>
      <c r="D48" s="15">
        <v>5</v>
      </c>
      <c r="E48" s="16">
        <v>2</v>
      </c>
      <c r="F48" s="16">
        <v>2</v>
      </c>
      <c r="G48" s="16">
        <v>5</v>
      </c>
    </row>
    <row r="49" spans="1:7" x14ac:dyDescent="0.25">
      <c r="A49" s="5"/>
      <c r="B49" s="5"/>
      <c r="C49" s="5"/>
      <c r="D49" s="5"/>
      <c r="E49" s="5"/>
      <c r="F49" s="5"/>
      <c r="G49" s="5"/>
    </row>
    <row r="50" spans="1:7" x14ac:dyDescent="0.25">
      <c r="A50" s="5"/>
      <c r="B50" s="5"/>
      <c r="C50" s="5" t="s">
        <v>90</v>
      </c>
      <c r="D50" s="23" t="s">
        <v>91</v>
      </c>
      <c r="E50" s="23"/>
      <c r="F50" s="23"/>
      <c r="G50" s="23"/>
    </row>
    <row r="51" spans="1:7" x14ac:dyDescent="0.25">
      <c r="A51" s="5"/>
      <c r="B51" s="5"/>
      <c r="C51" s="5"/>
      <c r="D51" s="5"/>
      <c r="E51" s="5"/>
      <c r="F51" s="5"/>
      <c r="G51" s="5"/>
    </row>
    <row r="52" spans="1:7" x14ac:dyDescent="0.25">
      <c r="A52" s="20"/>
      <c r="B52" s="20"/>
      <c r="C52" s="20" t="s">
        <v>92</v>
      </c>
      <c r="D52" s="21">
        <f>D6+D16+D19+D35</f>
        <v>100</v>
      </c>
      <c r="E52" s="22">
        <f>E6+E16+E19+E35</f>
        <v>72.911674582876628</v>
      </c>
      <c r="F52" s="22">
        <f>F6+F16+F19+F35</f>
        <v>82.47429545731336</v>
      </c>
      <c r="G52" s="22">
        <f>G6+G16+G19+G35</f>
        <v>82.965341614906833</v>
      </c>
    </row>
    <row r="53" spans="1:7" x14ac:dyDescent="0.25">
      <c r="A53" s="5"/>
      <c r="B53" s="5"/>
      <c r="C53" s="5"/>
      <c r="D53" s="5"/>
      <c r="E53" s="5"/>
      <c r="F53" s="5"/>
      <c r="G53" s="5"/>
    </row>
    <row r="54" spans="1:7" ht="91.5" customHeight="1" x14ac:dyDescent="0.25">
      <c r="A54" s="24" t="s">
        <v>93</v>
      </c>
      <c r="B54" s="23"/>
      <c r="C54" s="23"/>
      <c r="D54" s="23"/>
      <c r="E54" s="23"/>
      <c r="F54" s="23"/>
      <c r="G54" s="23"/>
    </row>
  </sheetData>
  <autoFilter ref="A3:G50" xr:uid="{00000000-0009-0000-0000-000000000000}"/>
  <mergeCells count="3">
    <mergeCell ref="D50:G50"/>
    <mergeCell ref="A54:G54"/>
    <mergeCell ref="A1:G1"/>
  </mergeCells>
  <pageMargins left="0.75" right="0.75" top="1.4" bottom="1.6" header="0.5" footer="0.5"/>
  <pageSetup scale="87" fitToHeight="0" orientation="landscape" horizontalDpi="4294967295" verticalDpi="360"/>
  <headerFooter alignWithMargins="0">
    <oddHeader>&amp;C&amp;G</oddHeader>
    <oddFooter>&amp;CCra. 18 No. 86A-14  -  TEL: 57-1- 638 64 42  -  FAX: 57-1- 616 30 30
e-mail: info@gpmcg.com  - Bogotá D.C.  - Colombia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 de pesos</vt:lpstr>
      <vt:lpstr>'Matriz de pesos'!Área_de_impresión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 Nacional de Sistemas</dc:creator>
  <cp:lastModifiedBy>Daniel Sierra</cp:lastModifiedBy>
  <dcterms:created xsi:type="dcterms:W3CDTF">1996-04-11T22:37:24Z</dcterms:created>
  <dcterms:modified xsi:type="dcterms:W3CDTF">2026-04-12T23:59:24Z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0x010100E9F21D0CA6FE02459206DCE6EDEFCD2F</vt:lpwstr>
  </property>
</Properties>
</file>